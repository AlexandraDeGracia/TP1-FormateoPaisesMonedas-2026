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cuments\TP1-FormateoPaisesMonedas-2026\Documentos\"/>
    </mc:Choice>
  </mc:AlternateContent>
  <xr:revisionPtr revIDLastSave="0" documentId="8_{8B59389B-E9CD-431D-8A25-FF05A497CA42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Estadística de Tiempo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5" i="1" l="1"/>
  <c r="B24" i="1"/>
  <c r="B23" i="1"/>
  <c r="B22" i="1"/>
  <c r="B21" i="1"/>
  <c r="B20" i="1"/>
  <c r="B19" i="1"/>
  <c r="B18" i="1"/>
  <c r="H14" i="1"/>
  <c r="G14" i="1"/>
  <c r="F14" i="1"/>
  <c r="E14" i="1"/>
  <c r="D14" i="1"/>
  <c r="C14" i="1"/>
  <c r="H13" i="1"/>
  <c r="C25" i="1" s="1"/>
  <c r="G13" i="1"/>
  <c r="H12" i="1"/>
  <c r="G12" i="1"/>
  <c r="H11" i="1"/>
  <c r="G11" i="1"/>
  <c r="H10" i="1"/>
  <c r="C22" i="1" s="1"/>
  <c r="G10" i="1"/>
  <c r="H9" i="1"/>
  <c r="C21" i="1" s="1"/>
  <c r="G9" i="1"/>
  <c r="H8" i="1"/>
  <c r="C20" i="1" s="1"/>
  <c r="G8" i="1"/>
  <c r="H7" i="1"/>
  <c r="C19" i="1" s="1"/>
  <c r="G7" i="1"/>
  <c r="H6" i="1"/>
  <c r="G6" i="1"/>
  <c r="C18" i="1" l="1"/>
  <c r="C24" i="1"/>
  <c r="C23" i="1"/>
</calcChain>
</file>

<file path=xl/sharedStrings.xml><?xml version="1.0" encoding="utf-8"?>
<sst xmlns="http://schemas.openxmlformats.org/spreadsheetml/2006/main" count="24" uniqueCount="24">
  <si>
    <t>INSTITUTO TECNOLÓGICO DE COSTA RICA - ESCUELA DE INGENIERÍA EN COMPUTACIÓN</t>
  </si>
  <si>
    <t>TALLER DE PROGRAMACIÓN (II SEMESTRE 2026) - TP1: ESTADÍSTICA DE TIEMPOS (PSP)</t>
  </si>
  <si>
    <t>N.º</t>
  </si>
  <si>
    <t>Actividad realizada</t>
  </si>
  <si>
    <t>Horas estimadas E1</t>
  </si>
  <si>
    <t>Horas reales E1</t>
  </si>
  <si>
    <t>Horas estimadas E2</t>
  </si>
  <si>
    <t>Horas reales E2</t>
  </si>
  <si>
    <t>Total estimadas</t>
  </si>
  <si>
    <t>Total reales</t>
  </si>
  <si>
    <t>Análisis de requerimientos y lectura del enunciado</t>
  </si>
  <si>
    <t>Distribución de tareas y planificación</t>
  </si>
  <si>
    <t>Investigación (TOON, HTML, archivos binarios, PSP)</t>
  </si>
  <si>
    <t>Programación</t>
  </si>
  <si>
    <t>Documentación interna (docstrings y comentarios)</t>
  </si>
  <si>
    <t>Pruebas y validaciones de ejecución</t>
  </si>
  <si>
    <t>Elaboración de la documentación del proyecto</t>
  </si>
  <si>
    <t>Limpieza de código y refactorización (olores)</t>
  </si>
  <si>
    <t>TOTALES</t>
  </si>
  <si>
    <t>Porcentaje del esfuerzo real por actividad</t>
  </si>
  <si>
    <t>Actividad</t>
  </si>
  <si>
    <t>% del total real</t>
  </si>
  <si>
    <t>LEYENDA: las celdas amarillas son las horas que usted debe revisar/editar; los totales y porcentajes son fórmulas.</t>
  </si>
  <si>
    <t xml:space="preserve">E1: Alexandra De Gracia (2026801601)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</si>
</sst>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7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2F3"/>
        <bgColor rgb="FFCC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165" fontId="3" fillId="0" borderId="1" xfId="0" applyNumberFormat="1" applyFont="1" applyBorder="1" applyAlignment="1">
      <alignment horizontal="center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zoomScaleNormal="100" workbookViewId="0">
      <pane ySplit="5" topLeftCell="A7" activePane="bottomLeft" state="frozen"/>
      <selection pane="bottomLeft" activeCell="B29" sqref="B29"/>
    </sheetView>
  </sheetViews>
  <sheetFormatPr baseColWidth="10" defaultColWidth="8.6640625" defaultRowHeight="14.4" x14ac:dyDescent="0.3"/>
  <cols>
    <col min="1" max="1" width="6" customWidth="1"/>
    <col min="2" max="2" width="58" customWidth="1"/>
    <col min="3" max="8" width="14" customWidth="1"/>
  </cols>
  <sheetData>
    <row r="1" spans="1:8" ht="15.6" x14ac:dyDescent="0.3">
      <c r="A1" s="1" t="s">
        <v>0</v>
      </c>
    </row>
    <row r="2" spans="1:8" x14ac:dyDescent="0.3">
      <c r="A2" s="2" t="s">
        <v>1</v>
      </c>
    </row>
    <row r="3" spans="1:8" x14ac:dyDescent="0.3">
      <c r="A3" s="3" t="s">
        <v>23</v>
      </c>
    </row>
    <row r="5" spans="1:8" ht="31.5" customHeight="1" x14ac:dyDescent="0.3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spans="1:8" x14ac:dyDescent="0.3">
      <c r="A6" s="5">
        <v>1</v>
      </c>
      <c r="B6" s="6" t="s">
        <v>10</v>
      </c>
      <c r="C6" s="7">
        <v>2</v>
      </c>
      <c r="D6" s="7">
        <v>2.5</v>
      </c>
      <c r="E6" s="7">
        <v>2</v>
      </c>
      <c r="F6" s="7">
        <v>2</v>
      </c>
      <c r="G6" s="8">
        <f t="shared" ref="G6:H13" si="0">C6+E6</f>
        <v>4</v>
      </c>
      <c r="H6" s="8">
        <f t="shared" si="0"/>
        <v>4.5</v>
      </c>
    </row>
    <row r="7" spans="1:8" x14ac:dyDescent="0.3">
      <c r="A7" s="5">
        <v>2</v>
      </c>
      <c r="B7" s="6" t="s">
        <v>11</v>
      </c>
      <c r="C7" s="7">
        <v>2</v>
      </c>
      <c r="D7" s="7">
        <v>2</v>
      </c>
      <c r="E7" s="7">
        <v>2</v>
      </c>
      <c r="F7" s="7">
        <v>2</v>
      </c>
      <c r="G7" s="8">
        <f t="shared" si="0"/>
        <v>4</v>
      </c>
      <c r="H7" s="8">
        <f t="shared" si="0"/>
        <v>4</v>
      </c>
    </row>
    <row r="8" spans="1:8" x14ac:dyDescent="0.3">
      <c r="A8" s="5">
        <v>3</v>
      </c>
      <c r="B8" s="6" t="s">
        <v>12</v>
      </c>
      <c r="C8" s="7">
        <v>5</v>
      </c>
      <c r="D8" s="7">
        <v>5.5</v>
      </c>
      <c r="E8" s="7">
        <v>5</v>
      </c>
      <c r="F8" s="7">
        <v>6</v>
      </c>
      <c r="G8" s="8">
        <f t="shared" si="0"/>
        <v>10</v>
      </c>
      <c r="H8" s="8">
        <f t="shared" si="0"/>
        <v>11.5</v>
      </c>
    </row>
    <row r="9" spans="1:8" x14ac:dyDescent="0.3">
      <c r="A9" s="5">
        <v>4</v>
      </c>
      <c r="B9" s="6" t="s">
        <v>13</v>
      </c>
      <c r="C9" s="7">
        <v>22</v>
      </c>
      <c r="D9" s="7">
        <v>26</v>
      </c>
      <c r="E9" s="7">
        <v>22</v>
      </c>
      <c r="F9" s="7">
        <v>24.5</v>
      </c>
      <c r="G9" s="8">
        <f t="shared" si="0"/>
        <v>44</v>
      </c>
      <c r="H9" s="8">
        <f t="shared" si="0"/>
        <v>50.5</v>
      </c>
    </row>
    <row r="10" spans="1:8" x14ac:dyDescent="0.3">
      <c r="A10" s="5">
        <v>5</v>
      </c>
      <c r="B10" s="6" t="s">
        <v>14</v>
      </c>
      <c r="C10" s="7">
        <v>3</v>
      </c>
      <c r="D10" s="7">
        <v>3.5</v>
      </c>
      <c r="E10" s="7">
        <v>3</v>
      </c>
      <c r="F10" s="7">
        <v>3.5</v>
      </c>
      <c r="G10" s="8">
        <f t="shared" si="0"/>
        <v>6</v>
      </c>
      <c r="H10" s="8">
        <f t="shared" si="0"/>
        <v>7</v>
      </c>
    </row>
    <row r="11" spans="1:8" x14ac:dyDescent="0.3">
      <c r="A11" s="5">
        <v>6</v>
      </c>
      <c r="B11" s="6" t="s">
        <v>15</v>
      </c>
      <c r="C11" s="7">
        <v>3</v>
      </c>
      <c r="D11" s="7">
        <v>4</v>
      </c>
      <c r="E11" s="7">
        <v>3</v>
      </c>
      <c r="F11" s="7">
        <v>3.5</v>
      </c>
      <c r="G11" s="8">
        <f t="shared" si="0"/>
        <v>6</v>
      </c>
      <c r="H11" s="8">
        <f t="shared" si="0"/>
        <v>7.5</v>
      </c>
    </row>
    <row r="12" spans="1:8" x14ac:dyDescent="0.3">
      <c r="A12" s="5">
        <v>7</v>
      </c>
      <c r="B12" s="6" t="s">
        <v>16</v>
      </c>
      <c r="C12" s="7">
        <v>6</v>
      </c>
      <c r="D12" s="7">
        <v>7</v>
      </c>
      <c r="E12" s="7">
        <v>6</v>
      </c>
      <c r="F12" s="7">
        <v>6.5</v>
      </c>
      <c r="G12" s="8">
        <f t="shared" si="0"/>
        <v>12</v>
      </c>
      <c r="H12" s="8">
        <f t="shared" si="0"/>
        <v>13.5</v>
      </c>
    </row>
    <row r="13" spans="1:8" x14ac:dyDescent="0.3">
      <c r="A13" s="5">
        <v>8</v>
      </c>
      <c r="B13" s="6" t="s">
        <v>17</v>
      </c>
      <c r="C13" s="7">
        <v>3</v>
      </c>
      <c r="D13" s="7">
        <v>3.5</v>
      </c>
      <c r="E13" s="7">
        <v>3</v>
      </c>
      <c r="F13" s="7">
        <v>3</v>
      </c>
      <c r="G13" s="8">
        <f t="shared" si="0"/>
        <v>6</v>
      </c>
      <c r="H13" s="8">
        <f t="shared" si="0"/>
        <v>6.5</v>
      </c>
    </row>
    <row r="14" spans="1:8" x14ac:dyDescent="0.3">
      <c r="A14" s="9"/>
      <c r="B14" s="10" t="s">
        <v>18</v>
      </c>
      <c r="C14" s="11">
        <f t="shared" ref="C14:H14" si="1">SUM(C6:C13)</f>
        <v>46</v>
      </c>
      <c r="D14" s="11">
        <f t="shared" si="1"/>
        <v>54</v>
      </c>
      <c r="E14" s="11">
        <f t="shared" si="1"/>
        <v>46</v>
      </c>
      <c r="F14" s="11">
        <f t="shared" si="1"/>
        <v>51</v>
      </c>
      <c r="G14" s="11">
        <f t="shared" si="1"/>
        <v>92</v>
      </c>
      <c r="H14" s="11">
        <f t="shared" si="1"/>
        <v>105</v>
      </c>
    </row>
    <row r="16" spans="1:8" x14ac:dyDescent="0.3">
      <c r="B16" s="12" t="s">
        <v>19</v>
      </c>
    </row>
    <row r="17" spans="2:3" ht="26.4" x14ac:dyDescent="0.3">
      <c r="B17" s="4" t="s">
        <v>20</v>
      </c>
      <c r="C17" s="4" t="s">
        <v>21</v>
      </c>
    </row>
    <row r="18" spans="2:3" x14ac:dyDescent="0.3">
      <c r="B18" s="6" t="str">
        <f t="shared" ref="B18:B25" si="2">B6</f>
        <v>Análisis de requerimientos y lectura del enunciado</v>
      </c>
      <c r="C18" s="13">
        <f t="shared" ref="C18:C25" si="3">H6/$H$14</f>
        <v>4.2857142857142858E-2</v>
      </c>
    </row>
    <row r="19" spans="2:3" x14ac:dyDescent="0.3">
      <c r="B19" s="6" t="str">
        <f t="shared" si="2"/>
        <v>Distribución de tareas y planificación</v>
      </c>
      <c r="C19" s="13">
        <f t="shared" si="3"/>
        <v>3.8095238095238099E-2</v>
      </c>
    </row>
    <row r="20" spans="2:3" x14ac:dyDescent="0.3">
      <c r="B20" s="6" t="str">
        <f t="shared" si="2"/>
        <v>Investigación (TOON, HTML, archivos binarios, PSP)</v>
      </c>
      <c r="C20" s="13">
        <f t="shared" si="3"/>
        <v>0.10952380952380952</v>
      </c>
    </row>
    <row r="21" spans="2:3" x14ac:dyDescent="0.3">
      <c r="B21" s="6" t="str">
        <f t="shared" si="2"/>
        <v>Programación</v>
      </c>
      <c r="C21" s="13">
        <f t="shared" si="3"/>
        <v>0.48095238095238096</v>
      </c>
    </row>
    <row r="22" spans="2:3" x14ac:dyDescent="0.3">
      <c r="B22" s="6" t="str">
        <f t="shared" si="2"/>
        <v>Documentación interna (docstrings y comentarios)</v>
      </c>
      <c r="C22" s="13">
        <f t="shared" si="3"/>
        <v>6.6666666666666666E-2</v>
      </c>
    </row>
    <row r="23" spans="2:3" x14ac:dyDescent="0.3">
      <c r="B23" s="6" t="str">
        <f t="shared" si="2"/>
        <v>Pruebas y validaciones de ejecución</v>
      </c>
      <c r="C23" s="13">
        <f t="shared" si="3"/>
        <v>7.1428571428571425E-2</v>
      </c>
    </row>
    <row r="24" spans="2:3" x14ac:dyDescent="0.3">
      <c r="B24" s="6" t="str">
        <f t="shared" si="2"/>
        <v>Elaboración de la documentación del proyecto</v>
      </c>
      <c r="C24" s="13">
        <f t="shared" si="3"/>
        <v>0.12857142857142856</v>
      </c>
    </row>
    <row r="25" spans="2:3" x14ac:dyDescent="0.3">
      <c r="B25" s="6" t="str">
        <f t="shared" si="2"/>
        <v>Limpieza de código y refactorización (olores)</v>
      </c>
      <c r="C25" s="13">
        <f t="shared" si="3"/>
        <v>6.1904761904761907E-2</v>
      </c>
    </row>
    <row r="27" spans="2:3" x14ac:dyDescent="0.3">
      <c r="B27" s="14" t="s">
        <v>22</v>
      </c>
    </row>
    <row r="28" spans="2:3" x14ac:dyDescent="0.3">
      <c r="B28" s="14"/>
    </row>
    <row r="29" spans="2:3" x14ac:dyDescent="0.3">
      <c r="B29" s="14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Estadística de Tiempos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ALEXANDRA DE GARCIA</cp:lastModifiedBy>
  <cp:revision>0</cp:revision>
  <dcterms:created xsi:type="dcterms:W3CDTF">2026-10-14T06:55:00Z</dcterms:created>
  <dcterms:modified xsi:type="dcterms:W3CDTF">2026-10-14T07:05:46Z</dcterms:modified>
  <dc:language>en-US</dc:language>
</cp:coreProperties>
</file>